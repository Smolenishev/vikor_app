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O:\Documents\01_Otter-finance\01_My_project\01_Оптимизатор\VIKOR\"/>
    </mc:Choice>
  </mc:AlternateContent>
  <xr:revisionPtr revIDLastSave="0" documentId="13_ncr:1_{9DBD6282-3543-464E-B9EB-409CB27B7F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ul" sheetId="1" r:id="rId1"/>
    <sheet name="Расчет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4" l="1"/>
  <c r="P14" i="4"/>
  <c r="P13" i="4"/>
  <c r="O15" i="4"/>
  <c r="O14" i="4"/>
  <c r="O13" i="4"/>
  <c r="N15" i="4"/>
  <c r="N14" i="4"/>
  <c r="N13" i="4"/>
  <c r="G13" i="4"/>
  <c r="M15" i="4"/>
  <c r="M14" i="4"/>
  <c r="M13" i="4"/>
  <c r="D10" i="4"/>
  <c r="C10" i="4"/>
  <c r="B10" i="4"/>
  <c r="D9" i="4"/>
  <c r="C9" i="4"/>
  <c r="B9" i="4"/>
  <c r="E2" i="4"/>
  <c r="B15" i="4" l="1"/>
  <c r="D14" i="4"/>
  <c r="D13" i="4"/>
  <c r="C15" i="4"/>
  <c r="E15" i="4" s="1"/>
  <c r="D15" i="4"/>
  <c r="B14" i="4"/>
  <c r="F14" i="4" s="1"/>
  <c r="C14" i="4"/>
  <c r="E14" i="4" s="1"/>
  <c r="B13" i="4"/>
  <c r="C13" i="4"/>
  <c r="F15" i="4" l="1"/>
  <c r="F13" i="4"/>
  <c r="E13" i="4"/>
  <c r="E17" i="4" l="1"/>
  <c r="E18" i="4"/>
  <c r="F18" i="4"/>
  <c r="F17" i="4"/>
  <c r="K15" i="4" l="1"/>
  <c r="K14" i="4"/>
  <c r="K13" i="4"/>
  <c r="J15" i="4"/>
  <c r="L15" i="4" s="1"/>
  <c r="J14" i="4"/>
  <c r="L14" i="4" s="1"/>
  <c r="J13" i="4"/>
  <c r="L13" i="4" s="1"/>
  <c r="G15" i="4"/>
  <c r="G14" i="4"/>
</calcChain>
</file>

<file path=xl/sharedStrings.xml><?xml version="1.0" encoding="utf-8"?>
<sst xmlns="http://schemas.openxmlformats.org/spreadsheetml/2006/main" count="52" uniqueCount="43">
  <si>
    <t>Перевозчик_1</t>
  </si>
  <si>
    <t>Перевозчик_2</t>
  </si>
  <si>
    <t>Перевозчик_3</t>
  </si>
  <si>
    <t>Критерий</t>
  </si>
  <si>
    <t>Вес</t>
  </si>
  <si>
    <t>Тип</t>
  </si>
  <si>
    <t>Мин</t>
  </si>
  <si>
    <t>Макс</t>
  </si>
  <si>
    <t>Альтернативы</t>
  </si>
  <si>
    <t>Надежность (%)</t>
  </si>
  <si>
    <t>Срок (дн.)</t>
  </si>
  <si>
    <t>Цена (т.р.)</t>
  </si>
  <si>
    <t>Идеал</t>
  </si>
  <si>
    <t>Худший</t>
  </si>
  <si>
    <t>S+</t>
  </si>
  <si>
    <t>S-</t>
  </si>
  <si>
    <t>R+</t>
  </si>
  <si>
    <t>R-</t>
  </si>
  <si>
    <t>v</t>
  </si>
  <si>
    <t>S_i - S+</t>
  </si>
  <si>
    <t>S- - S+</t>
  </si>
  <si>
    <t>(S_i - S+) / (S- - S+)</t>
  </si>
  <si>
    <t>R_i - R+</t>
  </si>
  <si>
    <t>R- - R+</t>
  </si>
  <si>
    <t>(R_i - R+) /  R- - R+</t>
  </si>
  <si>
    <t>Цена взвш</t>
  </si>
  <si>
    <t>Срок взвш</t>
  </si>
  <si>
    <t>Надежность взвш</t>
  </si>
  <si>
    <t>Si</t>
  </si>
  <si>
    <t>Ri</t>
  </si>
  <si>
    <t>Qi</t>
  </si>
  <si>
    <t>R - критические провалы</t>
  </si>
  <si>
    <t>индекс VIKOR</t>
  </si>
  <si>
    <t>Автор:</t>
  </si>
  <si>
    <t>Смоленышев Олег</t>
  </si>
  <si>
    <t>Дата:</t>
  </si>
  <si>
    <t>Тел.:</t>
  </si>
  <si>
    <t>`+79160143770</t>
  </si>
  <si>
    <t>Email:</t>
  </si>
  <si>
    <t>smolenishev@otter-finance.ru</t>
  </si>
  <si>
    <t xml:space="preserve">VIKOR - VIKOR (серб. VlseKriterijumska Optimizacija I Kompromisno Resenje) </t>
  </si>
  <si>
    <t>Многокритериальная оптимизация и компромиссное решение</t>
  </si>
  <si>
    <t>разложение формулы индекса VIKOR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</si>
</sst>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_ ;[Red]\-#,##0.000\ "/>
    <numFmt numFmtId="165" formatCode="#,##0.0_ ;[Red]\-#,##0.0\ "/>
    <numFmt numFmtId="166" formatCode="#,##0_ ;[Red]\-#,##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8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0" fillId="0" borderId="0" xfId="0" applyNumberFormat="1"/>
    <xf numFmtId="0" fontId="1" fillId="0" borderId="1" xfId="0" applyFont="1" applyBorder="1"/>
    <xf numFmtId="166" fontId="1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olenishev@otter-finance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"/>
  <sheetViews>
    <sheetView workbookViewId="0">
      <selection activeCell="E7" sqref="E7"/>
    </sheetView>
  </sheetViews>
  <sheetFormatPr defaultRowHeight="14.4" x14ac:dyDescent="0.3"/>
  <cols>
    <col min="2" max="2" width="10.109375" bestFit="1" customWidth="1"/>
  </cols>
  <sheetData>
    <row r="1" spans="1:2" x14ac:dyDescent="0.3">
      <c r="A1" s="1" t="s">
        <v>40</v>
      </c>
    </row>
    <row r="2" spans="1:2" x14ac:dyDescent="0.3">
      <c r="A2" s="1" t="s">
        <v>41</v>
      </c>
    </row>
    <row r="3" spans="1:2" x14ac:dyDescent="0.3">
      <c r="A3" t="s">
        <v>33</v>
      </c>
      <c r="B3" t="s">
        <v>34</v>
      </c>
    </row>
    <row r="4" spans="1:2" x14ac:dyDescent="0.3">
      <c r="A4" t="s">
        <v>35</v>
      </c>
      <c r="B4" s="12">
        <v>46187</v>
      </c>
    </row>
    <row r="5" spans="1:2" x14ac:dyDescent="0.3">
      <c r="A5" t="s">
        <v>36</v>
      </c>
      <c r="B5" t="s">
        <v>37</v>
      </c>
    </row>
    <row r="6" spans="1:2" x14ac:dyDescent="0.3">
      <c r="A6" t="s">
        <v>38</v>
      </c>
      <c r="B6" s="13" t="s">
        <v>39</v>
      </c>
    </row>
  </sheetData>
  <hyperlinks>
    <hyperlink ref="B6" r:id="rId1" xr:uid="{20D39F35-7A6B-4E67-9E66-9F5BB08730E7}"/>
  </hyperlinks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2B70-DD71-4E7B-9387-4AD86975CBBE}">
  <sheetPr>
    <pageSetUpPr fitToPage="1"/>
  </sheetPr>
  <dimension ref="A1:P20"/>
  <sheetViews>
    <sheetView tabSelected="1" workbookViewId="0">
      <selection activeCell="A11" sqref="A11"/>
    </sheetView>
  </sheetViews>
  <sheetFormatPr defaultRowHeight="14.4" x14ac:dyDescent="0.3"/>
  <cols>
    <col min="1" max="1" width="25.33203125" customWidth="1"/>
  </cols>
  <sheetData>
    <row r="1" spans="1:16" ht="28.8" x14ac:dyDescent="0.3">
      <c r="A1" s="3" t="s">
        <v>3</v>
      </c>
      <c r="B1" s="2" t="s">
        <v>11</v>
      </c>
      <c r="C1" s="2" t="s">
        <v>10</v>
      </c>
      <c r="D1" s="2" t="s">
        <v>9</v>
      </c>
    </row>
    <row r="2" spans="1:16" x14ac:dyDescent="0.3">
      <c r="A2" s="3" t="s">
        <v>4</v>
      </c>
      <c r="B2" s="5">
        <v>0.5</v>
      </c>
      <c r="C2" s="5">
        <v>0.3</v>
      </c>
      <c r="D2" s="5">
        <v>0.2</v>
      </c>
      <c r="E2" s="7">
        <f>SUM(B2:D2)</f>
        <v>1</v>
      </c>
    </row>
    <row r="3" spans="1:16" x14ac:dyDescent="0.3">
      <c r="A3" s="3" t="s">
        <v>5</v>
      </c>
      <c r="B3" s="2" t="s">
        <v>6</v>
      </c>
      <c r="C3" s="2" t="s">
        <v>6</v>
      </c>
      <c r="D3" s="2" t="s">
        <v>7</v>
      </c>
    </row>
    <row r="5" spans="1:16" ht="28.8" x14ac:dyDescent="0.3">
      <c r="A5" s="2" t="s">
        <v>8</v>
      </c>
      <c r="B5" s="2" t="s">
        <v>11</v>
      </c>
      <c r="C5" s="2" t="s">
        <v>10</v>
      </c>
      <c r="D5" s="2" t="s">
        <v>9</v>
      </c>
    </row>
    <row r="6" spans="1:16" x14ac:dyDescent="0.3">
      <c r="A6" s="3" t="s">
        <v>0</v>
      </c>
      <c r="B6" s="6">
        <v>1000</v>
      </c>
      <c r="C6" s="6">
        <v>45</v>
      </c>
      <c r="D6" s="6">
        <v>95</v>
      </c>
    </row>
    <row r="7" spans="1:16" x14ac:dyDescent="0.3">
      <c r="A7" s="3" t="s">
        <v>1</v>
      </c>
      <c r="B7" s="6">
        <v>1200</v>
      </c>
      <c r="C7" s="6">
        <v>30</v>
      </c>
      <c r="D7" s="6">
        <v>99</v>
      </c>
    </row>
    <row r="8" spans="1:16" x14ac:dyDescent="0.3">
      <c r="A8" s="3" t="s">
        <v>2</v>
      </c>
      <c r="B8" s="6">
        <v>900</v>
      </c>
      <c r="C8" s="6">
        <v>60</v>
      </c>
      <c r="D8" s="6">
        <v>85</v>
      </c>
    </row>
    <row r="9" spans="1:16" x14ac:dyDescent="0.3">
      <c r="A9" s="8" t="s">
        <v>12</v>
      </c>
      <c r="B9" s="9">
        <f>IF(B3="Макс",MAX(B6:B8),MIN(B6:B8))</f>
        <v>900</v>
      </c>
      <c r="C9" s="9">
        <f t="shared" ref="C9:D9" si="0">IF(C3="Макс",MAX(C6:C8),MIN(C6:C8))</f>
        <v>30</v>
      </c>
      <c r="D9" s="9">
        <f t="shared" si="0"/>
        <v>99</v>
      </c>
    </row>
    <row r="10" spans="1:16" x14ac:dyDescent="0.3">
      <c r="A10" s="8" t="s">
        <v>13</v>
      </c>
      <c r="B10" s="9">
        <f>IF(B3="Макс",MIN(B6:B8),MAX(B6:B8))</f>
        <v>1200</v>
      </c>
      <c r="C10" s="9">
        <f t="shared" ref="C10:D10" si="1">IF(C3="Макс",MIN(C6:C8),MAX(C6:C8))</f>
        <v>60</v>
      </c>
      <c r="D10" s="9">
        <f t="shared" si="1"/>
        <v>85</v>
      </c>
    </row>
    <row r="11" spans="1:16" x14ac:dyDescent="0.3">
      <c r="G11" t="s">
        <v>32</v>
      </c>
      <c r="J11" t="s">
        <v>42</v>
      </c>
    </row>
    <row r="12" spans="1:16" ht="28.8" x14ac:dyDescent="0.3">
      <c r="A12" s="2" t="s">
        <v>8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30</v>
      </c>
    </row>
    <row r="13" spans="1:16" x14ac:dyDescent="0.3">
      <c r="A13" s="3" t="s">
        <v>0</v>
      </c>
      <c r="B13" s="4">
        <f>IF(B$10=B$9, 0, ABS(B$9-B6)/ABS(B$10-B$9) * B$2)</f>
        <v>0.16666666666666666</v>
      </c>
      <c r="C13" s="4">
        <f>IF(C$10=C$9, 0, ABS(C$9-C6)/ABS(C$10-C$9) * C$2)</f>
        <v>0.15</v>
      </c>
      <c r="D13" s="4">
        <f>IF(D$10=D$9, 0, ABS(D$9-D6)/ABS(D$10-D$9) * D$2)</f>
        <v>5.7142857142857141E-2</v>
      </c>
      <c r="E13" s="4">
        <f>SUM(B13:D13)</f>
        <v>0.37380952380952381</v>
      </c>
      <c r="F13" s="4">
        <f>MAX(B13:D13)</f>
        <v>0.16666666666666666</v>
      </c>
      <c r="G13" s="4">
        <f>IF($E$18=$E$17, 0, $H$18*(E13-$E$17)/($E$18-$E$17)) + IF($F$18=$F$17, 0, (1-$H$18)*(F13-$F$17)/($F$18-$F$17))</f>
        <v>0</v>
      </c>
      <c r="J13" s="4">
        <f>(E13-$E$17)</f>
        <v>0</v>
      </c>
      <c r="K13" s="4">
        <f>($E$18-$E$17)</f>
        <v>0.12619047619047619</v>
      </c>
      <c r="L13" s="4">
        <f>J13/K13</f>
        <v>0</v>
      </c>
      <c r="M13" s="4">
        <f>(F13-$F$17)</f>
        <v>0</v>
      </c>
      <c r="N13" s="4">
        <f>($F$18-$F$17)</f>
        <v>0.33333333333333337</v>
      </c>
      <c r="O13" s="4">
        <f>M13/N13</f>
        <v>0</v>
      </c>
      <c r="P13" s="4">
        <f>($H$18*L13)+((1-$H$18)*O13)</f>
        <v>0</v>
      </c>
    </row>
    <row r="14" spans="1:16" x14ac:dyDescent="0.3">
      <c r="A14" s="3" t="s">
        <v>1</v>
      </c>
      <c r="B14" s="4">
        <f t="shared" ref="B14:D14" si="2">IF(B$10=B$9, 0, ABS(B$9-B7)/ABS(B$10-B$9) * B$2)</f>
        <v>0.5</v>
      </c>
      <c r="C14" s="4">
        <f t="shared" si="2"/>
        <v>0</v>
      </c>
      <c r="D14" s="4">
        <f t="shared" si="2"/>
        <v>0</v>
      </c>
      <c r="E14" s="4">
        <f t="shared" ref="E14:E15" si="3">SUM(B14:D14)</f>
        <v>0.5</v>
      </c>
      <c r="F14" s="4">
        <f t="shared" ref="F14:F15" si="4">MAX(B14:D14)</f>
        <v>0.5</v>
      </c>
      <c r="G14" s="4">
        <f t="shared" ref="G14:G15" si="5">IF($E$18=$E$17, 0, $H$18*(E14-$E$17)/($E$18-$E$17)) + IF($F$18=$F$17, 0, (1-$H$18)*(F14-$F$17)/($F$18-$F$17))</f>
        <v>1</v>
      </c>
      <c r="J14" s="4">
        <f t="shared" ref="J14:J15" si="6">(E14-$E$17)</f>
        <v>0.12619047619047619</v>
      </c>
      <c r="K14" s="4">
        <f t="shared" ref="K14:K15" si="7">($E$18-$E$17)</f>
        <v>0.12619047619047619</v>
      </c>
      <c r="L14" s="4">
        <f t="shared" ref="L14:L15" si="8">J14/K14</f>
        <v>1</v>
      </c>
      <c r="M14" s="4">
        <f t="shared" ref="M14:M15" si="9">(F14-$F$17)</f>
        <v>0.33333333333333337</v>
      </c>
      <c r="N14" s="4">
        <f t="shared" ref="N14:N15" si="10">($F$18-$F$17)</f>
        <v>0.33333333333333337</v>
      </c>
      <c r="O14" s="4">
        <f t="shared" ref="O14:O15" si="11">M14/N14</f>
        <v>1</v>
      </c>
      <c r="P14" s="4">
        <f t="shared" ref="P14:P15" si="12">($H$18*L14)+((1-$H$18)*O14)</f>
        <v>1</v>
      </c>
    </row>
    <row r="15" spans="1:16" x14ac:dyDescent="0.3">
      <c r="A15" s="3" t="s">
        <v>2</v>
      </c>
      <c r="B15" s="4">
        <f t="shared" ref="B15:D15" si="13">IF(B$10=B$9, 0, ABS(B$9-B8)/ABS(B$10-B$9) * B$2)</f>
        <v>0</v>
      </c>
      <c r="C15" s="4">
        <f t="shared" si="13"/>
        <v>0.3</v>
      </c>
      <c r="D15" s="4">
        <f t="shared" si="13"/>
        <v>0.2</v>
      </c>
      <c r="E15" s="4">
        <f t="shared" si="3"/>
        <v>0.5</v>
      </c>
      <c r="F15" s="4">
        <f t="shared" si="4"/>
        <v>0.3</v>
      </c>
      <c r="G15" s="4">
        <f t="shared" si="5"/>
        <v>0.7</v>
      </c>
      <c r="J15" s="4">
        <f t="shared" si="6"/>
        <v>0.12619047619047619</v>
      </c>
      <c r="K15" s="4">
        <f t="shared" si="7"/>
        <v>0.12619047619047619</v>
      </c>
      <c r="L15" s="4">
        <f t="shared" si="8"/>
        <v>1</v>
      </c>
      <c r="M15" s="4">
        <f t="shared" si="9"/>
        <v>0.13333333333333333</v>
      </c>
      <c r="N15" s="4">
        <f t="shared" si="10"/>
        <v>0.33333333333333337</v>
      </c>
      <c r="O15" s="4">
        <f t="shared" si="11"/>
        <v>0.39999999999999997</v>
      </c>
      <c r="P15" s="4">
        <f t="shared" si="12"/>
        <v>0.7</v>
      </c>
    </row>
    <row r="17" spans="4:8" x14ac:dyDescent="0.3">
      <c r="D17" s="10" t="s">
        <v>14</v>
      </c>
      <c r="E17" s="4">
        <f>MIN(E13:E15)</f>
        <v>0.37380952380952381</v>
      </c>
      <c r="F17" s="4">
        <f>MIN(F13:F15)</f>
        <v>0.16666666666666666</v>
      </c>
      <c r="G17" t="s">
        <v>16</v>
      </c>
      <c r="H17" s="11" t="s">
        <v>18</v>
      </c>
    </row>
    <row r="18" spans="4:8" x14ac:dyDescent="0.3">
      <c r="D18" s="10" t="s">
        <v>15</v>
      </c>
      <c r="E18" s="4">
        <f>MAX(E13:E15)</f>
        <v>0.5</v>
      </c>
      <c r="F18" s="4">
        <f>MAX(F13:F15)</f>
        <v>0.5</v>
      </c>
      <c r="G18" t="s">
        <v>17</v>
      </c>
      <c r="H18" s="4">
        <v>0.5</v>
      </c>
    </row>
    <row r="20" spans="4:8" x14ac:dyDescent="0.3">
      <c r="G20" t="s">
        <v>31</v>
      </c>
    </row>
  </sheetData>
  <pageMargins left="0.70866141732283472" right="0.70866141732283472" top="0.74803149606299213" bottom="0.74803149606299213" header="0.31496062992125984" footer="0.31496062992125984"/>
  <pageSetup paperSize="9" scale="82" orientation="landscape" horizontalDpi="4294967295" verticalDpi="4294967295" r:id="rId1"/>
  <headerFooter>
    <oddFooter>&amp;C© Смоленышев Олег 2026-06-14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Titul</vt:lpstr>
      <vt:lpstr>Расчет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Smolenishev</cp:lastModifiedBy>
  <cp:lastPrinted>2026-06-14T18:24:53Z</cp:lastPrinted>
  <dcterms:created xsi:type="dcterms:W3CDTF">2015-06-05T18:19:34Z</dcterms:created>
  <dcterms:modified xsi:type="dcterms:W3CDTF">2026-06-14T18:26:11Z</dcterms:modified>
</cp:coreProperties>
</file>